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rsion" sheetId="1" state="visible" r:id="rId3"/>
    <sheet name="BOM" sheetId="2" state="visible" r:id="rId4"/>
    <sheet name="To confirm"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<sst xmlns="http://schemas.openxmlformats.org/spreadsheetml/2006/main" count="230" uniqueCount="167">
  <si>
    <t xml:space="preserve">Parth v1 - Bill of Materials</t>
  </si>
  <si>
    <t xml:space="preserve">Version 4</t>
  </si>
  <si>
    <t xml:space="preserve">Build</t>
  </si>
  <si>
    <t xml:space="preserve">Parth v1, ESP32-S3 voice edition - static desk device, 3.5 in UART touch face, two microphones, I2S speaker, Bluetooth module for calls, Matter over Wi-Fi. No camera, no motors.</t>
  </si>
  <si>
    <t xml:space="preserve">Issued</t>
  </si>
  <si>
    <t xml:space="preserve">20 October 2026, by Claude as CTO and PM, for Omar Saud.</t>
  </si>
  <si>
    <t xml:space="preserve">Status</t>
  </si>
  <si>
    <t xml:space="preserve">This is the working BOM for the Parth build and for the Build Parth Project.</t>
  </si>
  <si>
    <t xml:space="preserve">Reconcile</t>
  </si>
  <si>
    <t xml:space="preserve">If your intern holds his own version 4, send it. Differences will sit almost entirely in the parts marked Estimate, because nobody has bought those yet. Where the two disagree on a part that has been ordered, his wins - he has the invoice.</t>
  </si>
  <si>
    <t xml:space="preserve">Built from</t>
  </si>
  <si>
    <t xml:space="preserve">The three component-order screenshots of 19 October 2026, and the Parth Software Team Spec of 19 October 2026. Nothing here came from a supplier quotation.</t>
  </si>
  <si>
    <t xml:space="preserve">What changed</t>
  </si>
  <si>
    <t xml:space="preserve">Seven parts added that the build needs and neither cart contained: capacitive touch pads, a microSD card for the display, cell protection, a cell holder, an enclosure, prototype interconnect and a power switch. Pilot quantities added at six units. One Robocraze line item remains unidentified.</t>
  </si>
  <si>
    <t xml:space="preserve">Price basis</t>
  </si>
  <si>
    <t xml:space="preserve">Actual - read off an order screenshot, GST included. Estimate - a typical Indian hobby-electronics price, shown in blue, not quoted; confirm before ordering. Inferred - derived from an order total.</t>
  </si>
  <si>
    <t xml:space="preserve">Cross-check</t>
  </si>
  <si>
    <t xml:space="preserve">The parts read off the screenshots - those marked Actual plus the single Inferred line - total INR 4,983 for one unit, which is exactly the two cart totals added together (INR 3,369 at Robu plus INR 1,614 at Robocraze). The reading of the screenshots is therefore sound.</t>
  </si>
  <si>
    <t xml:space="preserve">Open questions</t>
  </si>
  <si>
    <t xml:space="preserve">Ten, on the To confirm tab. Questions 1, 2 and 3 touch the frozen device contract. None of them blocks the software build, because the device declares its capabilities at connection and a feature the hardware cannot honour simply reports as unavailable.</t>
  </si>
  <si>
    <t xml:space="preserve">Quantities</t>
  </si>
  <si>
    <t xml:space="preserve">The column marked 'one unit' is a single device. The pilot column is six - five testers and one spare. These parts take weeks to arrive, so the pilot order goes in long before integration.</t>
  </si>
  <si>
    <t xml:space="preserve">Sources</t>
  </si>
  <si>
    <t xml:space="preserve">robu.in cart screenshot, 19 Oct 2026, subtotal INR 3,369 including GST. Robocraze checkout screenshot, 19 Oct 2026, 13 items, INR 1,614 including INR 246.20 tax. Parth - Software Team Spec, 19 Oct 2026.</t>
  </si>
  <si>
    <t xml:space="preserve">#</t>
  </si>
  <si>
    <t xml:space="preserve">Subsystem</t>
  </si>
  <si>
    <t xml:space="preserve">Part</t>
  </si>
  <si>
    <t xml:space="preserve">Key spec</t>
  </si>
  <si>
    <t xml:space="preserve">Qty, one unit</t>
  </si>
  <si>
    <t xml:space="preserve">Unit price (INR)</t>
  </si>
  <si>
    <t xml:space="preserve">Line total, one unit (INR)</t>
  </si>
  <si>
    <t xml:space="preserve">Qty, pilot of 6</t>
  </si>
  <si>
    <t xml:space="preserve">Line total, pilot (INR)</t>
  </si>
  <si>
    <t xml:space="preserve">Supplier</t>
  </si>
  <si>
    <t xml:space="preserve">What it does in Parth</t>
  </si>
  <si>
    <t xml:space="preserve">Intern to confirm</t>
  </si>
  <si>
    <t xml:space="preserve">Compute</t>
  </si>
  <si>
    <t xml:space="preserve">7Semi ESP32-S3-WROOM-1-N16R8</t>
  </si>
  <si>
    <t xml:space="preserve">16 MB flash, 8 MB PSRAM, Wi-Fi + BLE</t>
  </si>
  <si>
    <t xml:space="preserve">Actual</t>
  </si>
  <si>
    <t xml:space="preserve">Robocraze</t>
  </si>
  <si>
    <t xml:space="preserve">The brain: wake word, MQTT, audio WebSocket, UART to the display, Matter over Wi-Fi</t>
  </si>
  <si>
    <t xml:space="preserve">Ordered</t>
  </si>
  <si>
    <t xml:space="preserve">Face</t>
  </si>
  <si>
    <t xml:space="preserve">SmartElex Basic 3.5 in HMI display</t>
  </si>
  <si>
    <t xml:space="preserve">320x480 resistive touch, UART smart display</t>
  </si>
  <si>
    <t xml:space="preserve">Robu</t>
  </si>
  <si>
    <t xml:space="preserve">The glance face. Renders its own pages; the cloud pushes variables over UART</t>
  </si>
  <si>
    <t xml:space="preserve">Pages on microSD or internal flash? Which editor builds the project file?</t>
  </si>
  <si>
    <t xml:space="preserve">Audio out</t>
  </si>
  <si>
    <t xml:space="preserve">SmartElex I2S audio breakout MAX98357A</t>
  </si>
  <si>
    <t xml:space="preserve">I2S class-D mono amplifier</t>
  </si>
  <si>
    <t xml:space="preserve">Speech output from the gateway's Opus stream</t>
  </si>
  <si>
    <t xml:space="preserve">GSPK3005TN speaker</t>
  </si>
  <si>
    <t xml:space="preserve">8 ohm 0.5 W, 30 mm, 300 mm cable</t>
  </si>
  <si>
    <t xml:space="preserve">The speaker itself</t>
  </si>
  <si>
    <t xml:space="preserve">0.5 W loud enough at desk distance?</t>
  </si>
  <si>
    <t xml:space="preserve">Audio in</t>
  </si>
  <si>
    <t xml:space="preserve">INMP441 MEMS microphone</t>
  </si>
  <si>
    <t xml:space="preserve">I2S digital microphone</t>
  </si>
  <si>
    <t xml:space="preserve">Two-mic array: wake word, speech capture, echo cancellation</t>
  </si>
  <si>
    <t xml:space="preserve">Does direction of arrival work on the S3 with this layout?</t>
  </si>
  <si>
    <t xml:space="preserve">Calls</t>
  </si>
  <si>
    <t xml:space="preserve">Bluetooth audio receiver board, USB/TF + mic</t>
  </si>
  <si>
    <t xml:space="preserve">Bluetooth audio module</t>
  </si>
  <si>
    <t xml:space="preserve">Phone calls through Parth. Firmware is meant to answer and hang up over AT commands</t>
  </si>
  <si>
    <t xml:space="preserve">Exact part number? AT command set and hands-free profile?</t>
  </si>
  <si>
    <t xml:space="preserve">Power</t>
  </si>
  <si>
    <t xml:space="preserve">LG INR18650MJ1 Li-ion cell</t>
  </si>
  <si>
    <t xml:space="preserve">3400 mAh, 3C</t>
  </si>
  <si>
    <t xml:space="preserve">1S2P pack</t>
  </si>
  <si>
    <t xml:space="preserve">10 W 5 V charge and discharge booster</t>
  </si>
  <si>
    <t xml:space="preserve">Charge controller + 5 V boost</t>
  </si>
  <si>
    <t xml:space="preserve">Charges the pack and supplies 5 V to the board</t>
  </si>
  <si>
    <t xml:space="preserve">Does it include cell protection?</t>
  </si>
  <si>
    <t xml:space="preserve">USB Type-C breakout, downstream</t>
  </si>
  <si>
    <t xml:space="preserve">USB-C connector breakout</t>
  </si>
  <si>
    <t xml:space="preserve">Power in</t>
  </si>
  <si>
    <t xml:space="preserve">Power only, or data lines too?</t>
  </si>
  <si>
    <t xml:space="preserve">Assembly</t>
  </si>
  <si>
    <t xml:space="preserve">40x1 male berg strip</t>
  </si>
  <si>
    <t xml:space="preserve">2.54 mm pitch</t>
  </si>
  <si>
    <t xml:space="preserve">Headers</t>
  </si>
  <si>
    <t xml:space="preserve">40x1 female berg strip</t>
  </si>
  <si>
    <t xml:space="preserve">Unknown</t>
  </si>
  <si>
    <t xml:space="preserve">One further Robocraze line item</t>
  </si>
  <si>
    <t xml:space="preserve">Hidden below the fold in the screenshot</t>
  </si>
  <si>
    <t xml:space="preserve">Inferred</t>
  </si>
  <si>
    <t xml:space="preserve">Not visible</t>
  </si>
  <si>
    <t xml:space="preserve">What is this line? Price inferred from the order total</t>
  </si>
  <si>
    <t xml:space="preserve">Touch</t>
  </si>
  <si>
    <t xml:space="preserve">TTP223 capacitive touch key module</t>
  </si>
  <si>
    <t xml:space="preserve">1-channel capacitive touch breakout</t>
  </si>
  <si>
    <t xml:space="preserve">Estimate</t>
  </si>
  <si>
    <t xml:space="preserve">The tap_zone event. Six zones: head top, head left, head right, head back, base front, base rear</t>
  </si>
  <si>
    <t xml:space="preserve">To buy</t>
  </si>
  <si>
    <t xml:space="preserve">Are touch pads in the build at all, and how many?</t>
  </si>
  <si>
    <t xml:space="preserve">microSD card</t>
  </si>
  <si>
    <t xml:space="preserve">16 GB, class 10</t>
  </si>
  <si>
    <t xml:space="preserve">Any</t>
  </si>
  <si>
    <t xml:space="preserve">Holds the nine HMI page assets, if the display stores them on SD</t>
  </si>
  <si>
    <t xml:space="preserve">Needed, or internal flash?</t>
  </si>
  <si>
    <t xml:space="preserve">1S Li-ion protection board (BMS)</t>
  </si>
  <si>
    <t xml:space="preserve">3.7 V, 6 A, 4 MOS</t>
  </si>
  <si>
    <t xml:space="preserve">Over-charge, over-discharge and short protection for the pack. Safety, not a feature</t>
  </si>
  <si>
    <t xml:space="preserve">Covered by the booster module, or separate?</t>
  </si>
  <si>
    <t xml:space="preserve">18650 cell holder or spot-welded tabs</t>
  </si>
  <si>
    <t xml:space="preserve">2 cells in parallel</t>
  </si>
  <si>
    <t xml:space="preserve">Holds the 1S2P pack</t>
  </si>
  <si>
    <t xml:space="preserve">Holder or welded?</t>
  </si>
  <si>
    <t xml:space="preserve">Power switch</t>
  </si>
  <si>
    <t xml:space="preserve">SPDT slide or rocker</t>
  </si>
  <si>
    <t xml:space="preserve">Hard off</t>
  </si>
  <si>
    <t xml:space="preserve">Enclosure</t>
  </si>
  <si>
    <t xml:space="preserve">Enclosure, stand and fasteners</t>
  </si>
  <si>
    <t xml:space="preserve">3D printed, desk form factor</t>
  </si>
  <si>
    <t xml:space="preserve">Local</t>
  </si>
  <si>
    <t xml:space="preserve">The physical device. Also sets the viewing angle the face is designed for</t>
  </si>
  <si>
    <t xml:space="preserve">3D printed or off the shelf? Who prints it?</t>
  </si>
  <si>
    <t xml:space="preserve">Perfboard, wiring, standoffs</t>
  </si>
  <si>
    <t xml:space="preserve">Prototype interconnect</t>
  </si>
  <si>
    <t xml:space="preserve">Holds it together</t>
  </si>
  <si>
    <t xml:space="preserve">Units in the pilot run (edit this cell)</t>
  </si>
  <si>
    <t xml:space="preserve">Already ordered</t>
  </si>
  <si>
    <t xml:space="preserve">Unidentified line item</t>
  </si>
  <si>
    <t xml:space="preserve">Still to buy (estimated)</t>
  </si>
  <si>
    <t xml:space="preserve">TOTAL</t>
  </si>
  <si>
    <t xml:space="preserve">Blue figures are estimates, not quotations. Confirm each before ordering.</t>
  </si>
  <si>
    <t xml:space="preserve">'Already ordered' (4,768) plus the unidentified line (215) totals INR 4,983 per unit, which matches the two cart totals exactly: 3,369 at Robu plus 1,614 at Robocraze.</t>
  </si>
  <si>
    <t xml:space="preserve">The pilot column multiplies by the yellow cell above the totals - change it for a different pilot size.</t>
  </si>
  <si>
    <t xml:space="preserve">The pilot figure covers components only: no shipping, no spares beyond the sixth unit, no assembly labour, no certification.</t>
  </si>
  <si>
    <t xml:space="preserve">Parts marked 'To buy' are needed by the Parth Software Team Spec or by the physical build and appear in neither cart.</t>
  </si>
  <si>
    <t xml:space="preserve">Question for the intern</t>
  </si>
  <si>
    <t xml:space="preserve">Why it matters</t>
  </si>
  <si>
    <t xml:space="preserve">Feature / phase affected</t>
  </si>
  <si>
    <t xml:space="preserve">Answer</t>
  </si>
  <si>
    <t xml:space="preserve">Date</t>
  </si>
  <si>
    <t xml:space="preserve">What is the exact part number of the Bluetooth audio board, and does it expose an AT command set and the hands-free profile - answer and hang up under serial control?</t>
  </si>
  <si>
    <t xml:space="preserve">Generic A2DP receiver boards usually do neither. If this one does not, the phone-call feature cannot work and the module must be swapped.</t>
  </si>
  <si>
    <t xml:space="preserve">PA-C11 speakerphone / P10</t>
  </si>
  <si>
    <t xml:space="preserve">Are TTP223 capacitive touch pads part of the build? How many, and where on the body?</t>
  </si>
  <si>
    <t xml:space="preserve">The tap_zone event depends on them and they are in neither cart. Without them that event has no hardware.</t>
  </si>
  <si>
    <t xml:space="preserve">tap_zone event / P1 and P3</t>
  </si>
  <si>
    <t xml:space="preserve">Does microphone-array direction of arrival work on the ESP32-S3 with this two-mic layout?</t>
  </si>
  <si>
    <t xml:space="preserve">Espressif documents direction finding for the ESP32-P4; it is not confirmed for the S3. If it does not work, the 'looking toward the speaker' behaviour has no direction to point at.</t>
  </si>
  <si>
    <t xml:space="preserve">PA-M02 / P7</t>
  </si>
  <si>
    <t xml:space="preserve">Does the 3.5 in HMI store its pages on a microSD card or in internal flash, and which editor builds the project file?</t>
  </si>
  <si>
    <t xml:space="preserve">It decides how the nine face pages are delivered and updated over the air.</t>
  </si>
  <si>
    <t xml:space="preserve">HMI bundle / P9 and P13</t>
  </si>
  <si>
    <t xml:space="preserve">Is the display's UART 3.3 V TTL, or does it need level shifting from the ESP32-S3?</t>
  </si>
  <si>
    <t xml:space="preserve">A wiring question, but it changes the parts list.</t>
  </si>
  <si>
    <t xml:space="preserve">Hardware build</t>
  </si>
  <si>
    <t xml:space="preserve">Does the 10 W booster include cell protection, or does the pack need a separate protection board?</t>
  </si>
  <si>
    <t xml:space="preserve">Two 18650 cells with no protection is a safety problem, not a missing feature.</t>
  </si>
  <si>
    <t xml:space="preserve">Hardware build / certification</t>
  </si>
  <si>
    <t xml:space="preserve">What is the thirteenth Robocraze line item hidden in the screenshot?</t>
  </si>
  <si>
    <t xml:space="preserve">It is the one part on this BOM nobody can name.</t>
  </si>
  <si>
    <t xml:space="preserve">BOM completeness</t>
  </si>
  <si>
    <t xml:space="preserve">What is the peak current draw with display, amplifier, Bluetooth module and Wi-Fi all active, and does the booster cover it?</t>
  </si>
  <si>
    <t xml:space="preserve">Brown-outs during a call with the screen lit are the classic failure on this kind of build.</t>
  </si>
  <si>
    <t xml:space="preserve">Are the USB-C data lines broken out, or is the connector power only?</t>
  </si>
  <si>
    <t xml:space="preserve">Decides whether the device can be programmed over that port, and whether a later USB webcam variant is possible at all.</t>
  </si>
  <si>
    <t xml:space="preserve">P13 / Parth Pro</t>
  </si>
  <si>
    <t xml:space="preserve">How many complete sets of parts exist today, and what is the lead time for six?</t>
  </si>
  <si>
    <t xml:space="preserve">A five-person pilot needs six units and these parts take weeks to arrive.</t>
  </si>
  <si>
    <t xml:space="preserve">P13 and P14</t>
  </si>
  <si>
    <t xml:space="preserve">Yellow cells are for the intern to fill in. Questions 1, 2 and 3 touch the frozen device contract; the rest can be answered any time before integration.</t>
  </si>
</sst>
</file>

<file path=xl/styles.xml><?xml version="1.0" encoding="utf-8"?>
<styleSheet xmlns="http://schemas.openxmlformats.org/spreadsheetml/2006/main">
  <numFmts count="2">
    <numFmt numFmtId="164" formatCode="General"/>
    <numFmt numFmtId="165" formatCode="#,##0"/>
  </numFmts>
  <fonts count="15">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1"/>
      <color rgb="FF1F3864"/>
      <name val="Arial"/>
      <family val="0"/>
      <charset val="1"/>
    </font>
    <font>
      <b val="true"/>
      <sz val="10"/>
      <name val="Arial"/>
      <family val="0"/>
      <charset val="1"/>
    </font>
    <font>
      <sz val="10"/>
      <color rgb="FF000000"/>
      <name val="Arial"/>
      <family val="0"/>
      <charset val="1"/>
    </font>
    <font>
      <b val="true"/>
      <sz val="10"/>
      <color rgb="FF000000"/>
      <name val="Arial"/>
      <family val="0"/>
      <charset val="1"/>
    </font>
    <font>
      <sz val="10"/>
      <color rgb="FFC00000"/>
      <name val="Arial"/>
      <family val="0"/>
      <charset val="1"/>
    </font>
    <font>
      <b val="true"/>
      <sz val="10"/>
      <color rgb="FFFFFFFF"/>
      <name val="Arial"/>
      <family val="0"/>
      <charset val="1"/>
    </font>
    <font>
      <sz val="10"/>
      <name val="Arial"/>
      <family val="0"/>
      <charset val="1"/>
    </font>
    <font>
      <sz val="10"/>
      <color rgb="FF0000FF"/>
      <name val="Arial"/>
      <family val="0"/>
      <charset val="1"/>
    </font>
    <font>
      <b val="true"/>
      <sz val="10"/>
      <color rgb="FF0000FF"/>
      <name val="Arial"/>
      <family val="0"/>
      <charset val="1"/>
    </font>
    <font>
      <i val="true"/>
      <sz val="9"/>
      <color rgb="FF595959"/>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FFFF00"/>
        <bgColor rgb="FFFFFF00"/>
      </patternFill>
    </fill>
    <fill>
      <patternFill patternType="solid">
        <fgColor rgb="FFFFF2CC"/>
        <bgColor rgb="FFFFFFFF"/>
      </patternFill>
    </fill>
    <fill>
      <patternFill patternType="solid">
        <fgColor rgb="FFDDEBF7"/>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2" borderId="0" xfId="0" applyFont="true" applyBorder="false" applyAlignment="true" applyProtection="false">
      <alignment horizontal="general" vertical="center"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5" fontId="11" fillId="0" borderId="1" xfId="0" applyFont="true" applyBorder="true" applyAlignment="true" applyProtection="false">
      <alignment horizontal="general" vertical="top" textRotation="0" wrapText="true" indent="0" shrinkToFit="false"/>
      <protection locked="true" hidden="false"/>
    </xf>
    <xf numFmtId="164" fontId="11" fillId="3"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5" fontId="12"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13" fillId="3" borderId="1" xfId="0" applyFont="true" applyBorder="true" applyAlignment="true" applyProtection="false">
      <alignment horizontal="general" vertical="bottom" textRotation="0" wrapText="false" indent="0" shrinkToFit="false"/>
      <protection locked="true" hidden="false"/>
    </xf>
    <xf numFmtId="164" fontId="0" fillId="5" borderId="1" xfId="0" applyFont="false" applyBorder="true" applyAlignment="true" applyProtection="false">
      <alignment horizontal="general" vertical="bottom" textRotation="0" wrapText="false" indent="0" shrinkToFit="false"/>
      <protection locked="true" hidden="false"/>
    </xf>
    <xf numFmtId="164" fontId="6" fillId="5" borderId="1" xfId="0" applyFont="true" applyBorder="true" applyAlignment="true" applyProtection="false">
      <alignment horizontal="general" vertical="bottom" textRotation="0" wrapText="false" indent="0" shrinkToFit="false"/>
      <protection locked="true" hidden="false"/>
    </xf>
    <xf numFmtId="165" fontId="6" fillId="5" borderId="1" xfId="0" applyFont="true" applyBorder="tru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0" fillId="3" borderId="1" xfId="0" applyFont="fals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6"/>
    <col collapsed="false" customWidth="true" hidden="false" outlineLevel="0" max="3" min="3" style="1" width="86"/>
  </cols>
  <sheetData>
    <row r="2" customFormat="false" ht="17.25" hidden="false" customHeight="true" outlineLevel="0" collapsed="false">
      <c r="B2" s="2" t="s">
        <v>0</v>
      </c>
    </row>
    <row r="3" customFormat="false" ht="15" hidden="false" customHeight="true" outlineLevel="0" collapsed="false">
      <c r="B3" s="3" t="s">
        <v>1</v>
      </c>
    </row>
    <row r="5" customFormat="false" ht="23.25" hidden="false" customHeight="true" outlineLevel="0" collapsed="false">
      <c r="B5" s="4" t="s">
        <v>2</v>
      </c>
      <c r="C5" s="5" t="s">
        <v>3</v>
      </c>
    </row>
    <row r="7" customFormat="false" ht="15" hidden="false" customHeight="true" outlineLevel="0" collapsed="false">
      <c r="B7" s="4" t="s">
        <v>4</v>
      </c>
      <c r="C7" s="5" t="s">
        <v>5</v>
      </c>
    </row>
    <row r="9" customFormat="false" ht="15" hidden="false" customHeight="true" outlineLevel="0" collapsed="false">
      <c r="B9" s="4" t="s">
        <v>6</v>
      </c>
      <c r="C9" s="6" t="s">
        <v>7</v>
      </c>
    </row>
    <row r="11" customFormat="false" ht="34.5" hidden="false" customHeight="true" outlineLevel="0" collapsed="false">
      <c r="B11" s="4" t="s">
        <v>8</v>
      </c>
      <c r="C11" s="7" t="s">
        <v>9</v>
      </c>
    </row>
    <row r="13" customFormat="false" ht="23.25" hidden="false" customHeight="true" outlineLevel="0" collapsed="false">
      <c r="B13" s="4" t="s">
        <v>10</v>
      </c>
      <c r="C13" s="5" t="s">
        <v>11</v>
      </c>
    </row>
    <row r="15" customFormat="false" ht="34.5" hidden="false" customHeight="true" outlineLevel="0" collapsed="false">
      <c r="B15" s="4" t="s">
        <v>12</v>
      </c>
      <c r="C15" s="5" t="s">
        <v>13</v>
      </c>
    </row>
    <row r="17" customFormat="false" ht="23.25" hidden="false" customHeight="true" outlineLevel="0" collapsed="false">
      <c r="B17" s="4" t="s">
        <v>14</v>
      </c>
      <c r="C17" s="5" t="s">
        <v>15</v>
      </c>
    </row>
    <row r="19" customFormat="false" ht="23.25" hidden="false" customHeight="true" outlineLevel="0" collapsed="false">
      <c r="B19" s="4" t="s">
        <v>16</v>
      </c>
      <c r="C19" s="5" t="s">
        <v>17</v>
      </c>
    </row>
    <row r="21" customFormat="false" ht="34.5" hidden="false" customHeight="true" outlineLevel="0" collapsed="false">
      <c r="B21" s="4" t="s">
        <v>18</v>
      </c>
      <c r="C21" s="5" t="s">
        <v>19</v>
      </c>
    </row>
    <row r="23" customFormat="false" ht="23.25" hidden="false" customHeight="true" outlineLevel="0" collapsed="false">
      <c r="B23" s="4" t="s">
        <v>20</v>
      </c>
      <c r="C23" s="5" t="s">
        <v>21</v>
      </c>
    </row>
    <row r="25" customFormat="false" ht="23.25" hidden="false" customHeight="true" outlineLevel="0" collapsed="false">
      <c r="B25" s="4" t="s">
        <v>22</v>
      </c>
      <c r="C25" s="5" t="s">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12"/>
    <col collapsed="false" customWidth="true" hidden="false" outlineLevel="0" max="3" min="3" style="1" width="32"/>
    <col collapsed="false" customWidth="true" hidden="false" outlineLevel="0" max="4" min="4" style="1" width="28"/>
    <col collapsed="false" customWidth="true" hidden="false" outlineLevel="0" max="5" min="5" style="1" width="9"/>
    <col collapsed="false" customWidth="true" hidden="false" outlineLevel="0" max="7" min="6" style="1" width="11"/>
    <col collapsed="false" customWidth="true" hidden="false" outlineLevel="0" max="8" min="8" style="1" width="12"/>
    <col collapsed="false" customWidth="true" hidden="false" outlineLevel="0" max="9" min="9" style="1" width="9"/>
    <col collapsed="false" customWidth="true" hidden="false" outlineLevel="0" max="10" min="10" style="1" width="13"/>
    <col collapsed="false" customWidth="true" hidden="false" outlineLevel="0" max="11" min="11" style="1" width="12"/>
    <col collapsed="false" customWidth="true" hidden="false" outlineLevel="0" max="12" min="12" style="1" width="38"/>
    <col collapsed="false" customWidth="true" hidden="false" outlineLevel="0" max="13" min="13" style="1" width="10"/>
    <col collapsed="false" customWidth="true" hidden="false" outlineLevel="0" max="14" min="14" style="1" width="30"/>
  </cols>
  <sheetData>
    <row r="1" customFormat="false" ht="42" hidden="false" customHeight="true" outlineLevel="0" collapsed="false">
      <c r="A1" s="8" t="s">
        <v>24</v>
      </c>
      <c r="B1" s="8" t="s">
        <v>25</v>
      </c>
      <c r="C1" s="8" t="s">
        <v>26</v>
      </c>
      <c r="D1" s="8" t="s">
        <v>27</v>
      </c>
      <c r="E1" s="8" t="s">
        <v>28</v>
      </c>
      <c r="F1" s="8" t="s">
        <v>29</v>
      </c>
      <c r="G1" s="8" t="s">
        <v>14</v>
      </c>
      <c r="H1" s="8" t="s">
        <v>30</v>
      </c>
      <c r="I1" s="8" t="s">
        <v>31</v>
      </c>
      <c r="J1" s="8" t="s">
        <v>32</v>
      </c>
      <c r="K1" s="8" t="s">
        <v>33</v>
      </c>
      <c r="L1" s="8" t="s">
        <v>34</v>
      </c>
      <c r="M1" s="8" t="s">
        <v>6</v>
      </c>
      <c r="N1" s="8" t="s">
        <v>35</v>
      </c>
    </row>
    <row r="2" customFormat="false" ht="30" hidden="false" customHeight="true" outlineLevel="0" collapsed="false">
      <c r="A2" s="9" t="n">
        <v>1</v>
      </c>
      <c r="B2" s="9" t="s">
        <v>36</v>
      </c>
      <c r="C2" s="9" t="s">
        <v>37</v>
      </c>
      <c r="D2" s="9" t="s">
        <v>38</v>
      </c>
      <c r="E2" s="9" t="n">
        <v>1</v>
      </c>
      <c r="F2" s="10" t="n">
        <v>949</v>
      </c>
      <c r="G2" s="9" t="s">
        <v>39</v>
      </c>
      <c r="H2" s="10" t="n">
        <f aca="false">E2*F2</f>
        <v>949</v>
      </c>
      <c r="I2" s="9" t="n">
        <f aca="false">E2*$E$22</f>
        <v>6</v>
      </c>
      <c r="J2" s="10" t="n">
        <f aca="false">I2*F2</f>
        <v>5694</v>
      </c>
      <c r="K2" s="9" t="s">
        <v>40</v>
      </c>
      <c r="L2" s="9" t="s">
        <v>41</v>
      </c>
      <c r="M2" s="9" t="s">
        <v>42</v>
      </c>
      <c r="N2" s="9"/>
    </row>
    <row r="3" customFormat="false" ht="30" hidden="false" customHeight="true" outlineLevel="0" collapsed="false">
      <c r="A3" s="9" t="n">
        <v>2</v>
      </c>
      <c r="B3" s="9" t="s">
        <v>43</v>
      </c>
      <c r="C3" s="9" t="s">
        <v>44</v>
      </c>
      <c r="D3" s="9" t="s">
        <v>45</v>
      </c>
      <c r="E3" s="9" t="n">
        <v>1</v>
      </c>
      <c r="F3" s="10" t="n">
        <v>1419</v>
      </c>
      <c r="G3" s="9" t="s">
        <v>39</v>
      </c>
      <c r="H3" s="10" t="n">
        <f aca="false">E3*F3</f>
        <v>1419</v>
      </c>
      <c r="I3" s="9" t="n">
        <f aca="false">E3*$E$22</f>
        <v>6</v>
      </c>
      <c r="J3" s="10" t="n">
        <f aca="false">I3*F3</f>
        <v>8514</v>
      </c>
      <c r="K3" s="9" t="s">
        <v>46</v>
      </c>
      <c r="L3" s="9" t="s">
        <v>47</v>
      </c>
      <c r="M3" s="9" t="s">
        <v>42</v>
      </c>
      <c r="N3" s="11" t="s">
        <v>48</v>
      </c>
    </row>
    <row r="4" customFormat="false" ht="30" hidden="false" customHeight="true" outlineLevel="0" collapsed="false">
      <c r="A4" s="9" t="n">
        <v>3</v>
      </c>
      <c r="B4" s="9" t="s">
        <v>49</v>
      </c>
      <c r="C4" s="9" t="s">
        <v>50</v>
      </c>
      <c r="D4" s="9" t="s">
        <v>51</v>
      </c>
      <c r="E4" s="9" t="n">
        <v>1</v>
      </c>
      <c r="F4" s="10" t="n">
        <v>194</v>
      </c>
      <c r="G4" s="9" t="s">
        <v>39</v>
      </c>
      <c r="H4" s="10" t="n">
        <f aca="false">E4*F4</f>
        <v>194</v>
      </c>
      <c r="I4" s="9" t="n">
        <f aca="false">E4*$E$22</f>
        <v>6</v>
      </c>
      <c r="J4" s="10" t="n">
        <f aca="false">I4*F4</f>
        <v>1164</v>
      </c>
      <c r="K4" s="9" t="s">
        <v>46</v>
      </c>
      <c r="L4" s="9" t="s">
        <v>52</v>
      </c>
      <c r="M4" s="9" t="s">
        <v>42</v>
      </c>
      <c r="N4" s="9"/>
    </row>
    <row r="5" customFormat="false" ht="30" hidden="false" customHeight="true" outlineLevel="0" collapsed="false">
      <c r="A5" s="9" t="n">
        <v>4</v>
      </c>
      <c r="B5" s="9" t="s">
        <v>49</v>
      </c>
      <c r="C5" s="9" t="s">
        <v>53</v>
      </c>
      <c r="D5" s="9" t="s">
        <v>54</v>
      </c>
      <c r="E5" s="9" t="n">
        <v>1</v>
      </c>
      <c r="F5" s="10" t="n">
        <v>91</v>
      </c>
      <c r="G5" s="9" t="s">
        <v>39</v>
      </c>
      <c r="H5" s="10" t="n">
        <f aca="false">E5*F5</f>
        <v>91</v>
      </c>
      <c r="I5" s="9" t="n">
        <f aca="false">E5*$E$22</f>
        <v>6</v>
      </c>
      <c r="J5" s="10" t="n">
        <f aca="false">I5*F5</f>
        <v>546</v>
      </c>
      <c r="K5" s="9" t="s">
        <v>46</v>
      </c>
      <c r="L5" s="9" t="s">
        <v>55</v>
      </c>
      <c r="M5" s="9" t="s">
        <v>42</v>
      </c>
      <c r="N5" s="11" t="s">
        <v>56</v>
      </c>
    </row>
    <row r="6" customFormat="false" ht="30" hidden="false" customHeight="true" outlineLevel="0" collapsed="false">
      <c r="A6" s="9" t="n">
        <v>5</v>
      </c>
      <c r="B6" s="9" t="s">
        <v>57</v>
      </c>
      <c r="C6" s="9" t="s">
        <v>58</v>
      </c>
      <c r="D6" s="9" t="s">
        <v>59</v>
      </c>
      <c r="E6" s="9" t="n">
        <v>2</v>
      </c>
      <c r="F6" s="10" t="n">
        <v>179</v>
      </c>
      <c r="G6" s="9" t="s">
        <v>39</v>
      </c>
      <c r="H6" s="10" t="n">
        <f aca="false">E6*F6</f>
        <v>358</v>
      </c>
      <c r="I6" s="9" t="n">
        <f aca="false">E6*$E$22</f>
        <v>12</v>
      </c>
      <c r="J6" s="10" t="n">
        <f aca="false">I6*F6</f>
        <v>2148</v>
      </c>
      <c r="K6" s="9" t="s">
        <v>40</v>
      </c>
      <c r="L6" s="9" t="s">
        <v>60</v>
      </c>
      <c r="M6" s="9" t="s">
        <v>42</v>
      </c>
      <c r="N6" s="11" t="s">
        <v>61</v>
      </c>
    </row>
    <row r="7" customFormat="false" ht="30" hidden="false" customHeight="true" outlineLevel="0" collapsed="false">
      <c r="A7" s="9" t="n">
        <v>6</v>
      </c>
      <c r="B7" s="9" t="s">
        <v>62</v>
      </c>
      <c r="C7" s="9" t="s">
        <v>63</v>
      </c>
      <c r="D7" s="9" t="s">
        <v>64</v>
      </c>
      <c r="E7" s="9" t="n">
        <v>1</v>
      </c>
      <c r="F7" s="10" t="n">
        <v>289</v>
      </c>
      <c r="G7" s="9" t="s">
        <v>39</v>
      </c>
      <c r="H7" s="10" t="n">
        <f aca="false">E7*F7</f>
        <v>289</v>
      </c>
      <c r="I7" s="9" t="n">
        <f aca="false">E7*$E$22</f>
        <v>6</v>
      </c>
      <c r="J7" s="10" t="n">
        <f aca="false">I7*F7</f>
        <v>1734</v>
      </c>
      <c r="K7" s="9" t="s">
        <v>46</v>
      </c>
      <c r="L7" s="9" t="s">
        <v>65</v>
      </c>
      <c r="M7" s="9" t="s">
        <v>42</v>
      </c>
      <c r="N7" s="11" t="s">
        <v>66</v>
      </c>
    </row>
    <row r="8" customFormat="false" ht="30" hidden="false" customHeight="true" outlineLevel="0" collapsed="false">
      <c r="A8" s="9" t="n">
        <v>7</v>
      </c>
      <c r="B8" s="9" t="s">
        <v>67</v>
      </c>
      <c r="C8" s="9" t="s">
        <v>68</v>
      </c>
      <c r="D8" s="9" t="s">
        <v>69</v>
      </c>
      <c r="E8" s="9" t="n">
        <v>2</v>
      </c>
      <c r="F8" s="10" t="n">
        <v>409</v>
      </c>
      <c r="G8" s="9" t="s">
        <v>39</v>
      </c>
      <c r="H8" s="10" t="n">
        <f aca="false">E8*F8</f>
        <v>818</v>
      </c>
      <c r="I8" s="9" t="n">
        <f aca="false">E8*$E$22</f>
        <v>12</v>
      </c>
      <c r="J8" s="10" t="n">
        <f aca="false">I8*F8</f>
        <v>4908</v>
      </c>
      <c r="K8" s="9" t="s">
        <v>46</v>
      </c>
      <c r="L8" s="9" t="s">
        <v>70</v>
      </c>
      <c r="M8" s="9" t="s">
        <v>42</v>
      </c>
      <c r="N8" s="9"/>
    </row>
    <row r="9" customFormat="false" ht="30" hidden="false" customHeight="true" outlineLevel="0" collapsed="false">
      <c r="A9" s="9" t="n">
        <v>8</v>
      </c>
      <c r="B9" s="9" t="s">
        <v>67</v>
      </c>
      <c r="C9" s="9" t="s">
        <v>71</v>
      </c>
      <c r="D9" s="9" t="s">
        <v>72</v>
      </c>
      <c r="E9" s="9" t="n">
        <v>1</v>
      </c>
      <c r="F9" s="10" t="n">
        <v>459</v>
      </c>
      <c r="G9" s="9" t="s">
        <v>39</v>
      </c>
      <c r="H9" s="10" t="n">
        <f aca="false">E9*F9</f>
        <v>459</v>
      </c>
      <c r="I9" s="9" t="n">
        <f aca="false">E9*$E$22</f>
        <v>6</v>
      </c>
      <c r="J9" s="10" t="n">
        <f aca="false">I9*F9</f>
        <v>2754</v>
      </c>
      <c r="K9" s="9" t="s">
        <v>46</v>
      </c>
      <c r="L9" s="9" t="s">
        <v>73</v>
      </c>
      <c r="M9" s="9" t="s">
        <v>42</v>
      </c>
      <c r="N9" s="11" t="s">
        <v>74</v>
      </c>
    </row>
    <row r="10" customFormat="false" ht="30" hidden="false" customHeight="true" outlineLevel="0" collapsed="false">
      <c r="A10" s="9" t="n">
        <v>9</v>
      </c>
      <c r="B10" s="9" t="s">
        <v>67</v>
      </c>
      <c r="C10" s="9" t="s">
        <v>75</v>
      </c>
      <c r="D10" s="9" t="s">
        <v>76</v>
      </c>
      <c r="E10" s="9" t="n">
        <v>1</v>
      </c>
      <c r="F10" s="10" t="n">
        <v>99</v>
      </c>
      <c r="G10" s="9" t="s">
        <v>39</v>
      </c>
      <c r="H10" s="10" t="n">
        <f aca="false">E10*F10</f>
        <v>99</v>
      </c>
      <c r="I10" s="9" t="n">
        <f aca="false">E10*$E$22</f>
        <v>6</v>
      </c>
      <c r="J10" s="10" t="n">
        <f aca="false">I10*F10</f>
        <v>594</v>
      </c>
      <c r="K10" s="9" t="s">
        <v>46</v>
      </c>
      <c r="L10" s="9" t="s">
        <v>77</v>
      </c>
      <c r="M10" s="9" t="s">
        <v>42</v>
      </c>
      <c r="N10" s="11" t="s">
        <v>78</v>
      </c>
    </row>
    <row r="11" customFormat="false" ht="30" hidden="false" customHeight="true" outlineLevel="0" collapsed="false">
      <c r="A11" s="9" t="n">
        <v>10</v>
      </c>
      <c r="B11" s="9" t="s">
        <v>79</v>
      </c>
      <c r="C11" s="9" t="s">
        <v>80</v>
      </c>
      <c r="D11" s="9" t="s">
        <v>81</v>
      </c>
      <c r="E11" s="9" t="n">
        <v>4</v>
      </c>
      <c r="F11" s="10" t="n">
        <v>8</v>
      </c>
      <c r="G11" s="9" t="s">
        <v>39</v>
      </c>
      <c r="H11" s="10" t="n">
        <f aca="false">E11*F11</f>
        <v>32</v>
      </c>
      <c r="I11" s="9" t="n">
        <f aca="false">E11*$E$22</f>
        <v>24</v>
      </c>
      <c r="J11" s="10" t="n">
        <f aca="false">I11*F11</f>
        <v>192</v>
      </c>
      <c r="K11" s="9" t="s">
        <v>40</v>
      </c>
      <c r="L11" s="9" t="s">
        <v>82</v>
      </c>
      <c r="M11" s="9" t="s">
        <v>42</v>
      </c>
      <c r="N11" s="9"/>
    </row>
    <row r="12" customFormat="false" ht="30" hidden="false" customHeight="true" outlineLevel="0" collapsed="false">
      <c r="A12" s="9" t="n">
        <v>11</v>
      </c>
      <c r="B12" s="9" t="s">
        <v>79</v>
      </c>
      <c r="C12" s="9" t="s">
        <v>83</v>
      </c>
      <c r="D12" s="9" t="s">
        <v>81</v>
      </c>
      <c r="E12" s="9" t="n">
        <v>5</v>
      </c>
      <c r="F12" s="10" t="n">
        <v>12</v>
      </c>
      <c r="G12" s="9" t="s">
        <v>39</v>
      </c>
      <c r="H12" s="10" t="n">
        <f aca="false">E12*F12</f>
        <v>60</v>
      </c>
      <c r="I12" s="9" t="n">
        <f aca="false">E12*$E$22</f>
        <v>30</v>
      </c>
      <c r="J12" s="10" t="n">
        <f aca="false">I12*F12</f>
        <v>360</v>
      </c>
      <c r="K12" s="9" t="s">
        <v>40</v>
      </c>
      <c r="L12" s="9" t="s">
        <v>82</v>
      </c>
      <c r="M12" s="9" t="s">
        <v>42</v>
      </c>
      <c r="N12" s="9"/>
    </row>
    <row r="13" customFormat="false" ht="30" hidden="false" customHeight="true" outlineLevel="0" collapsed="false">
      <c r="A13" s="9" t="n">
        <v>12</v>
      </c>
      <c r="B13" s="9" t="s">
        <v>84</v>
      </c>
      <c r="C13" s="9" t="s">
        <v>85</v>
      </c>
      <c r="D13" s="9" t="s">
        <v>86</v>
      </c>
      <c r="E13" s="9" t="n">
        <v>1</v>
      </c>
      <c r="F13" s="10" t="n">
        <v>215</v>
      </c>
      <c r="G13" s="9" t="s">
        <v>87</v>
      </c>
      <c r="H13" s="10" t="n">
        <f aca="false">E13*F13</f>
        <v>215</v>
      </c>
      <c r="I13" s="9" t="n">
        <f aca="false">E13*$E$22</f>
        <v>6</v>
      </c>
      <c r="J13" s="10" t="n">
        <f aca="false">I13*F13</f>
        <v>1290</v>
      </c>
      <c r="K13" s="9" t="s">
        <v>40</v>
      </c>
      <c r="L13" s="9" t="s">
        <v>88</v>
      </c>
      <c r="M13" s="12" t="s">
        <v>84</v>
      </c>
      <c r="N13" s="11" t="s">
        <v>89</v>
      </c>
    </row>
    <row r="14" customFormat="false" ht="30" hidden="false" customHeight="true" outlineLevel="0" collapsed="false">
      <c r="A14" s="9" t="n">
        <v>13</v>
      </c>
      <c r="B14" s="13" t="s">
        <v>90</v>
      </c>
      <c r="C14" s="14" t="s">
        <v>91</v>
      </c>
      <c r="D14" s="13" t="s">
        <v>92</v>
      </c>
      <c r="E14" s="9" t="n">
        <v>6</v>
      </c>
      <c r="F14" s="15" t="n">
        <v>50</v>
      </c>
      <c r="G14" s="16" t="s">
        <v>93</v>
      </c>
      <c r="H14" s="10" t="n">
        <f aca="false">E14*F14</f>
        <v>300</v>
      </c>
      <c r="I14" s="9" t="n">
        <f aca="false">E14*$E$22</f>
        <v>36</v>
      </c>
      <c r="J14" s="10" t="n">
        <f aca="false">I14*F14</f>
        <v>1800</v>
      </c>
      <c r="K14" s="9" t="s">
        <v>46</v>
      </c>
      <c r="L14" s="9" t="s">
        <v>94</v>
      </c>
      <c r="M14" s="12" t="s">
        <v>95</v>
      </c>
      <c r="N14" s="11" t="s">
        <v>96</v>
      </c>
    </row>
    <row r="15" customFormat="false" ht="30" hidden="false" customHeight="true" outlineLevel="0" collapsed="false">
      <c r="A15" s="9" t="n">
        <v>14</v>
      </c>
      <c r="B15" s="13" t="s">
        <v>43</v>
      </c>
      <c r="C15" s="14" t="s">
        <v>97</v>
      </c>
      <c r="D15" s="13" t="s">
        <v>98</v>
      </c>
      <c r="E15" s="9" t="n">
        <v>1</v>
      </c>
      <c r="F15" s="15" t="n">
        <v>300</v>
      </c>
      <c r="G15" s="16" t="s">
        <v>93</v>
      </c>
      <c r="H15" s="10" t="n">
        <f aca="false">E15*F15</f>
        <v>300</v>
      </c>
      <c r="I15" s="9" t="n">
        <f aca="false">E15*$E$22</f>
        <v>6</v>
      </c>
      <c r="J15" s="10" t="n">
        <f aca="false">I15*F15</f>
        <v>1800</v>
      </c>
      <c r="K15" s="9" t="s">
        <v>99</v>
      </c>
      <c r="L15" s="9" t="s">
        <v>100</v>
      </c>
      <c r="M15" s="12" t="s">
        <v>95</v>
      </c>
      <c r="N15" s="11" t="s">
        <v>101</v>
      </c>
    </row>
    <row r="16" customFormat="false" ht="30" hidden="false" customHeight="true" outlineLevel="0" collapsed="false">
      <c r="A16" s="9" t="n">
        <v>15</v>
      </c>
      <c r="B16" s="13" t="s">
        <v>67</v>
      </c>
      <c r="C16" s="14" t="s">
        <v>102</v>
      </c>
      <c r="D16" s="13" t="s">
        <v>103</v>
      </c>
      <c r="E16" s="9" t="n">
        <v>1</v>
      </c>
      <c r="F16" s="15" t="n">
        <v>60</v>
      </c>
      <c r="G16" s="16" t="s">
        <v>93</v>
      </c>
      <c r="H16" s="10" t="n">
        <f aca="false">E16*F16</f>
        <v>60</v>
      </c>
      <c r="I16" s="9" t="n">
        <f aca="false">E16*$E$22</f>
        <v>6</v>
      </c>
      <c r="J16" s="10" t="n">
        <f aca="false">I16*F16</f>
        <v>360</v>
      </c>
      <c r="K16" s="9" t="s">
        <v>46</v>
      </c>
      <c r="L16" s="9" t="s">
        <v>104</v>
      </c>
      <c r="M16" s="12" t="s">
        <v>95</v>
      </c>
      <c r="N16" s="11" t="s">
        <v>105</v>
      </c>
    </row>
    <row r="17" customFormat="false" ht="30" hidden="false" customHeight="true" outlineLevel="0" collapsed="false">
      <c r="A17" s="9" t="n">
        <v>16</v>
      </c>
      <c r="B17" s="13" t="s">
        <v>67</v>
      </c>
      <c r="C17" s="14" t="s">
        <v>106</v>
      </c>
      <c r="D17" s="13" t="s">
        <v>107</v>
      </c>
      <c r="E17" s="9" t="n">
        <v>1</v>
      </c>
      <c r="F17" s="15" t="n">
        <v>50</v>
      </c>
      <c r="G17" s="16" t="s">
        <v>93</v>
      </c>
      <c r="H17" s="10" t="n">
        <f aca="false">E17*F17</f>
        <v>50</v>
      </c>
      <c r="I17" s="9" t="n">
        <f aca="false">E17*$E$22</f>
        <v>6</v>
      </c>
      <c r="J17" s="10" t="n">
        <f aca="false">I17*F17</f>
        <v>300</v>
      </c>
      <c r="K17" s="9" t="s">
        <v>46</v>
      </c>
      <c r="L17" s="9" t="s">
        <v>108</v>
      </c>
      <c r="M17" s="12" t="s">
        <v>95</v>
      </c>
      <c r="N17" s="11" t="s">
        <v>109</v>
      </c>
    </row>
    <row r="18" customFormat="false" ht="30" hidden="false" customHeight="true" outlineLevel="0" collapsed="false">
      <c r="A18" s="9" t="n">
        <v>17</v>
      </c>
      <c r="B18" s="13" t="s">
        <v>67</v>
      </c>
      <c r="C18" s="14" t="s">
        <v>110</v>
      </c>
      <c r="D18" s="13" t="s">
        <v>111</v>
      </c>
      <c r="E18" s="9" t="n">
        <v>1</v>
      </c>
      <c r="F18" s="15" t="n">
        <v>25</v>
      </c>
      <c r="G18" s="16" t="s">
        <v>93</v>
      </c>
      <c r="H18" s="10" t="n">
        <f aca="false">E18*F18</f>
        <v>25</v>
      </c>
      <c r="I18" s="9" t="n">
        <f aca="false">E18*$E$22</f>
        <v>6</v>
      </c>
      <c r="J18" s="10" t="n">
        <f aca="false">I18*F18</f>
        <v>150</v>
      </c>
      <c r="K18" s="9" t="s">
        <v>46</v>
      </c>
      <c r="L18" s="9" t="s">
        <v>112</v>
      </c>
      <c r="M18" s="12" t="s">
        <v>95</v>
      </c>
      <c r="N18" s="9"/>
    </row>
    <row r="19" customFormat="false" ht="30" hidden="false" customHeight="true" outlineLevel="0" collapsed="false">
      <c r="A19" s="9" t="n">
        <v>18</v>
      </c>
      <c r="B19" s="13" t="s">
        <v>113</v>
      </c>
      <c r="C19" s="14" t="s">
        <v>114</v>
      </c>
      <c r="D19" s="13" t="s">
        <v>115</v>
      </c>
      <c r="E19" s="9" t="n">
        <v>1</v>
      </c>
      <c r="F19" s="15" t="n">
        <v>1200</v>
      </c>
      <c r="G19" s="16" t="s">
        <v>93</v>
      </c>
      <c r="H19" s="10" t="n">
        <f aca="false">E19*F19</f>
        <v>1200</v>
      </c>
      <c r="I19" s="9" t="n">
        <f aca="false">E19*$E$22</f>
        <v>6</v>
      </c>
      <c r="J19" s="10" t="n">
        <f aca="false">I19*F19</f>
        <v>7200</v>
      </c>
      <c r="K19" s="9" t="s">
        <v>116</v>
      </c>
      <c r="L19" s="9" t="s">
        <v>117</v>
      </c>
      <c r="M19" s="12" t="s">
        <v>95</v>
      </c>
      <c r="N19" s="11" t="s">
        <v>118</v>
      </c>
    </row>
    <row r="20" customFormat="false" ht="30" hidden="false" customHeight="true" outlineLevel="0" collapsed="false">
      <c r="A20" s="9" t="n">
        <v>19</v>
      </c>
      <c r="B20" s="13" t="s">
        <v>79</v>
      </c>
      <c r="C20" s="14" t="s">
        <v>119</v>
      </c>
      <c r="D20" s="13" t="s">
        <v>120</v>
      </c>
      <c r="E20" s="9" t="n">
        <v>1</v>
      </c>
      <c r="F20" s="15" t="n">
        <v>150</v>
      </c>
      <c r="G20" s="16" t="s">
        <v>93</v>
      </c>
      <c r="H20" s="10" t="n">
        <f aca="false">E20*F20</f>
        <v>150</v>
      </c>
      <c r="I20" s="9" t="n">
        <f aca="false">E20*$E$22</f>
        <v>6</v>
      </c>
      <c r="J20" s="10" t="n">
        <f aca="false">I20*F20</f>
        <v>900</v>
      </c>
      <c r="K20" s="9" t="s">
        <v>46</v>
      </c>
      <c r="L20" s="9" t="s">
        <v>121</v>
      </c>
      <c r="M20" s="12" t="s">
        <v>95</v>
      </c>
      <c r="N20" s="9"/>
    </row>
    <row r="22" customFormat="false" ht="15" hidden="false" customHeight="true" outlineLevel="0" collapsed="false">
      <c r="C22" s="17" t="s">
        <v>122</v>
      </c>
      <c r="E22" s="18" t="n">
        <v>6</v>
      </c>
    </row>
    <row r="24" customFormat="false" ht="15" hidden="false" customHeight="true" outlineLevel="0" collapsed="false">
      <c r="A24" s="19"/>
      <c r="B24" s="19"/>
      <c r="C24" s="20" t="s">
        <v>123</v>
      </c>
      <c r="D24" s="19"/>
      <c r="E24" s="19"/>
      <c r="F24" s="19"/>
      <c r="G24" s="19"/>
      <c r="H24" s="21" t="n">
        <f aca="false">SUMIF($M$2:$M$20,"Ordered",$H$2:$H$20)</f>
        <v>4768</v>
      </c>
      <c r="I24" s="19"/>
      <c r="J24" s="21" t="n">
        <f aca="false">SUMIF($M$2:$M$20,"Ordered",$J$2:$J$20)</f>
        <v>28608</v>
      </c>
      <c r="K24" s="19"/>
      <c r="L24" s="19"/>
      <c r="M24" s="19"/>
      <c r="N24" s="19"/>
    </row>
    <row r="25" customFormat="false" ht="15" hidden="false" customHeight="true" outlineLevel="0" collapsed="false">
      <c r="A25" s="19"/>
      <c r="B25" s="19"/>
      <c r="C25" s="20" t="s">
        <v>124</v>
      </c>
      <c r="D25" s="19"/>
      <c r="E25" s="19"/>
      <c r="F25" s="19"/>
      <c r="G25" s="19"/>
      <c r="H25" s="21" t="n">
        <f aca="false">SUMIF($M$2:$M$20,"Unknown",$H$2:$H$20)</f>
        <v>215</v>
      </c>
      <c r="I25" s="19"/>
      <c r="J25" s="21" t="n">
        <f aca="false">SUMIF($M$2:$M$20,"Unknown",$J$2:$J$20)</f>
        <v>1290</v>
      </c>
      <c r="K25" s="19"/>
      <c r="L25" s="19"/>
      <c r="M25" s="19"/>
      <c r="N25" s="19"/>
    </row>
    <row r="26" customFormat="false" ht="15" hidden="false" customHeight="true" outlineLevel="0" collapsed="false">
      <c r="A26" s="19"/>
      <c r="B26" s="19"/>
      <c r="C26" s="20" t="s">
        <v>125</v>
      </c>
      <c r="D26" s="19"/>
      <c r="E26" s="19"/>
      <c r="F26" s="19"/>
      <c r="G26" s="19"/>
      <c r="H26" s="21" t="n">
        <f aca="false">SUMIF($M$2:$M$20,"To buy",$H$2:$H$20)</f>
        <v>2085</v>
      </c>
      <c r="I26" s="19"/>
      <c r="J26" s="21" t="n">
        <f aca="false">SUMIF($M$2:$M$20,"To buy",$J$2:$J$20)</f>
        <v>12510</v>
      </c>
      <c r="K26" s="19"/>
      <c r="L26" s="19"/>
      <c r="M26" s="19"/>
      <c r="N26" s="19"/>
    </row>
    <row r="27" customFormat="false" ht="15" hidden="false" customHeight="true" outlineLevel="0" collapsed="false">
      <c r="A27" s="19"/>
      <c r="B27" s="19"/>
      <c r="C27" s="20" t="s">
        <v>126</v>
      </c>
      <c r="D27" s="19"/>
      <c r="E27" s="19"/>
      <c r="F27" s="19"/>
      <c r="G27" s="19"/>
      <c r="H27" s="21" t="n">
        <f aca="false">SUM($H$2:$H$20)</f>
        <v>7068</v>
      </c>
      <c r="I27" s="19"/>
      <c r="J27" s="21" t="n">
        <f aca="false">SUM($J$2:$J$20)</f>
        <v>42408</v>
      </c>
      <c r="K27" s="19"/>
      <c r="L27" s="19"/>
      <c r="M27" s="19"/>
      <c r="N27" s="19"/>
    </row>
    <row r="29" customFormat="false" ht="15" hidden="false" customHeight="true" outlineLevel="0" collapsed="false">
      <c r="C29" s="22" t="s">
        <v>127</v>
      </c>
    </row>
    <row r="30" customFormat="false" ht="15" hidden="false" customHeight="true" outlineLevel="0" collapsed="false">
      <c r="C30" s="22" t="s">
        <v>128</v>
      </c>
    </row>
    <row r="31" customFormat="false" ht="15" hidden="false" customHeight="true" outlineLevel="0" collapsed="false">
      <c r="C31" s="22" t="s">
        <v>129</v>
      </c>
    </row>
    <row r="32" customFormat="false" ht="15" hidden="false" customHeight="true" outlineLevel="0" collapsed="false">
      <c r="C32" s="22" t="s">
        <v>130</v>
      </c>
    </row>
    <row r="33" customFormat="false" ht="15" hidden="false" customHeight="true" outlineLevel="0" collapsed="false">
      <c r="C33" s="22" t="s">
        <v>131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50"/>
    <col collapsed="false" customWidth="true" hidden="false" outlineLevel="0" max="3" min="3" style="1" width="52"/>
    <col collapsed="false" customWidth="true" hidden="false" outlineLevel="0" max="4" min="4" style="1" width="22"/>
    <col collapsed="false" customWidth="true" hidden="false" outlineLevel="0" max="5" min="5" style="1" width="40"/>
    <col collapsed="false" customWidth="true" hidden="false" outlineLevel="0" max="6" min="6" style="1" width="12"/>
  </cols>
  <sheetData>
    <row r="1" customFormat="false" ht="30" hidden="false" customHeight="true" outlineLevel="0" collapsed="false">
      <c r="A1" s="8" t="s">
        <v>24</v>
      </c>
      <c r="B1" s="8" t="s">
        <v>132</v>
      </c>
      <c r="C1" s="8" t="s">
        <v>133</v>
      </c>
      <c r="D1" s="8" t="s">
        <v>134</v>
      </c>
      <c r="E1" s="8" t="s">
        <v>135</v>
      </c>
      <c r="F1" s="8" t="s">
        <v>136</v>
      </c>
    </row>
    <row r="2" customFormat="false" ht="45.75" hidden="false" customHeight="true" outlineLevel="0" collapsed="false">
      <c r="A2" s="9" t="n">
        <v>1</v>
      </c>
      <c r="B2" s="9" t="s">
        <v>137</v>
      </c>
      <c r="C2" s="9" t="s">
        <v>138</v>
      </c>
      <c r="D2" s="9" t="s">
        <v>139</v>
      </c>
      <c r="E2" s="23"/>
      <c r="F2" s="23"/>
    </row>
    <row r="3" customFormat="false" ht="45.75" hidden="false" customHeight="true" outlineLevel="0" collapsed="false">
      <c r="A3" s="9" t="n">
        <v>2</v>
      </c>
      <c r="B3" s="9" t="s">
        <v>140</v>
      </c>
      <c r="C3" s="9" t="s">
        <v>141</v>
      </c>
      <c r="D3" s="9" t="s">
        <v>142</v>
      </c>
      <c r="E3" s="23"/>
      <c r="F3" s="23"/>
    </row>
    <row r="4" customFormat="false" ht="45.75" hidden="false" customHeight="true" outlineLevel="0" collapsed="false">
      <c r="A4" s="9" t="n">
        <v>3</v>
      </c>
      <c r="B4" s="9" t="s">
        <v>143</v>
      </c>
      <c r="C4" s="9" t="s">
        <v>144</v>
      </c>
      <c r="D4" s="9" t="s">
        <v>145</v>
      </c>
      <c r="E4" s="23"/>
      <c r="F4" s="23"/>
    </row>
    <row r="5" customFormat="false" ht="45.75" hidden="false" customHeight="true" outlineLevel="0" collapsed="false">
      <c r="A5" s="9" t="n">
        <v>4</v>
      </c>
      <c r="B5" s="9" t="s">
        <v>146</v>
      </c>
      <c r="C5" s="9" t="s">
        <v>147</v>
      </c>
      <c r="D5" s="9" t="s">
        <v>148</v>
      </c>
      <c r="E5" s="23"/>
      <c r="F5" s="23"/>
    </row>
    <row r="6" customFormat="false" ht="45.75" hidden="false" customHeight="true" outlineLevel="0" collapsed="false">
      <c r="A6" s="9" t="n">
        <v>5</v>
      </c>
      <c r="B6" s="9" t="s">
        <v>149</v>
      </c>
      <c r="C6" s="9" t="s">
        <v>150</v>
      </c>
      <c r="D6" s="9" t="s">
        <v>151</v>
      </c>
      <c r="E6" s="23"/>
      <c r="F6" s="23"/>
    </row>
    <row r="7" customFormat="false" ht="45.75" hidden="false" customHeight="true" outlineLevel="0" collapsed="false">
      <c r="A7" s="9" t="n">
        <v>6</v>
      </c>
      <c r="B7" s="9" t="s">
        <v>152</v>
      </c>
      <c r="C7" s="9" t="s">
        <v>153</v>
      </c>
      <c r="D7" s="9" t="s">
        <v>154</v>
      </c>
      <c r="E7" s="23"/>
      <c r="F7" s="23"/>
    </row>
    <row r="8" customFormat="false" ht="45.75" hidden="false" customHeight="true" outlineLevel="0" collapsed="false">
      <c r="A8" s="9" t="n">
        <v>7</v>
      </c>
      <c r="B8" s="9" t="s">
        <v>155</v>
      </c>
      <c r="C8" s="9" t="s">
        <v>156</v>
      </c>
      <c r="D8" s="9" t="s">
        <v>157</v>
      </c>
      <c r="E8" s="23"/>
      <c r="F8" s="23"/>
    </row>
    <row r="9" customFormat="false" ht="45.75" hidden="false" customHeight="true" outlineLevel="0" collapsed="false">
      <c r="A9" s="9" t="n">
        <v>8</v>
      </c>
      <c r="B9" s="9" t="s">
        <v>158</v>
      </c>
      <c r="C9" s="9" t="s">
        <v>159</v>
      </c>
      <c r="D9" s="9" t="s">
        <v>151</v>
      </c>
      <c r="E9" s="23"/>
      <c r="F9" s="23"/>
    </row>
    <row r="10" customFormat="false" ht="45.75" hidden="false" customHeight="true" outlineLevel="0" collapsed="false">
      <c r="A10" s="9" t="n">
        <v>9</v>
      </c>
      <c r="B10" s="9" t="s">
        <v>160</v>
      </c>
      <c r="C10" s="9" t="s">
        <v>161</v>
      </c>
      <c r="D10" s="9" t="s">
        <v>162</v>
      </c>
      <c r="E10" s="23"/>
      <c r="F10" s="23"/>
    </row>
    <row r="11" customFormat="false" ht="45.75" hidden="false" customHeight="true" outlineLevel="0" collapsed="false">
      <c r="A11" s="9" t="n">
        <v>10</v>
      </c>
      <c r="B11" s="9" t="s">
        <v>163</v>
      </c>
      <c r="C11" s="9" t="s">
        <v>164</v>
      </c>
      <c r="D11" s="9" t="s">
        <v>165</v>
      </c>
      <c r="E11" s="23"/>
      <c r="F11" s="23"/>
    </row>
    <row r="13" customFormat="false" ht="15" hidden="false" customHeight="true" outlineLevel="0" collapsed="false">
      <c r="B13" s="22" t="s">
        <v>166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2026-10-20T10:12:34Z</dcterms:created>
  <dc:creator>openpyxl</dc:creator>
  <dc:description/>
  <dc:language>en-US</dc:language>
  <cp:lastModifiedBy/>
  <dcterms:modified xsi:type="dcterms:W3CDTF">2026-10-20T10:12:59Z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